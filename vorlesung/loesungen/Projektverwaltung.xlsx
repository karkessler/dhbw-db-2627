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ke\SynologyDrive\Lernen\DHBW Stuttgart\Informatik\Datenbanken\2026_27\Meine Vorlesung\Skript\Zusatzmaterial\"/>
    </mc:Choice>
  </mc:AlternateContent>
  <xr:revisionPtr revIDLastSave="0" documentId="13_ncr:1_{6C219CD8-B77F-4B49-8D00-5ED6869D5FD2}" xr6:coauthVersionLast="47" xr6:coauthVersionMax="47" xr10:uidLastSave="{00000000-0000-0000-0000-000000000000}"/>
  <bookViews>
    <workbookView xWindow="26076" yWindow="3036" windowWidth="30960" windowHeight="11964" xr2:uid="{00000000-000D-0000-FFFF-FFFF00000000}"/>
  </bookViews>
  <sheets>
    <sheet name="Projektverwaltung" sheetId="1" r:id="rId1"/>
    <sheet name="Projekte" sheetId="2" r:id="rId2"/>
    <sheet name="Mitarbeiter" sheetId="3" r:id="rId3"/>
    <sheet name="Zuordnung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 l="1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D6" i="2"/>
  <c r="D5" i="2"/>
  <c r="D4" i="2"/>
  <c r="D3" i="2"/>
  <c r="D2" i="2"/>
</calcChain>
</file>

<file path=xl/sharedStrings.xml><?xml version="1.0" encoding="utf-8"?>
<sst xmlns="http://schemas.openxmlformats.org/spreadsheetml/2006/main" count="53" uniqueCount="38">
  <si>
    <t>Projektname</t>
  </si>
  <si>
    <t>Mitarbeiter</t>
  </si>
  <si>
    <t>Projektleiter</t>
  </si>
  <si>
    <t>Proj1</t>
  </si>
  <si>
    <t>Müller, Meier, Schmitt</t>
  </si>
  <si>
    <t>Dorn</t>
  </si>
  <si>
    <t>Proj2</t>
  </si>
  <si>
    <t>Heinrich, Mueller</t>
  </si>
  <si>
    <t>Kachelmann</t>
  </si>
  <si>
    <t>Proj3</t>
  </si>
  <si>
    <t>Klaar</t>
  </si>
  <si>
    <t>Hartmann</t>
  </si>
  <si>
    <t>Nr</t>
  </si>
  <si>
    <t>Name</t>
  </si>
  <si>
    <t>Vorname</t>
  </si>
  <si>
    <t>Müller</t>
  </si>
  <si>
    <t>ProjektNr</t>
  </si>
  <si>
    <t>MitarbeiterNr</t>
  </si>
  <si>
    <t>Meier</t>
  </si>
  <si>
    <t>Schmitt</t>
  </si>
  <si>
    <t>Heinrich</t>
  </si>
  <si>
    <t>Proj4</t>
  </si>
  <si>
    <t>Müller, Klaar, Hartmann</t>
  </si>
  <si>
    <t>Proj5</t>
  </si>
  <si>
    <t>Meier, Heinrich</t>
  </si>
  <si>
    <t>Anna</t>
  </si>
  <si>
    <t>Bernd</t>
  </si>
  <si>
    <t>Clara</t>
  </si>
  <si>
    <t>David</t>
  </si>
  <si>
    <t>Erik</t>
  </si>
  <si>
    <t>Frank</t>
  </si>
  <si>
    <t>Gerd</t>
  </si>
  <si>
    <t>Heike</t>
  </si>
  <si>
    <t>Ingo</t>
  </si>
  <si>
    <t>LeiterNr</t>
  </si>
  <si>
    <t>Leiter (Anzeige)</t>
  </si>
  <si>
    <t>Projekt (Anzeige)</t>
  </si>
  <si>
    <t>Mitarbeiter (Anzeige)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</si>
</sst>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008000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0" fontId="5" fillId="0" borderId="3" xfId="0" applyFont="1" applyBorder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B6F09A1-F7D7-4259-A8D6-E4EB0E0D043B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34dca955-1b00-44a0-b5c4-8fc03fd37f1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52B5658-52A6-4DA5-8EE2-1C2C8037D81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af7def4-ef59-4fb8-896e-2254b5ee22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75" sqref="H75"/>
    </sheetView>
  </sheetViews>
  <sheetFormatPr baseColWidth="10" defaultColWidth="8.796875" defaultRowHeight="15.6" x14ac:dyDescent="0.3"/>
  <cols>
    <col min="1" max="1" width="11.8984375" bestFit="1" customWidth="1"/>
    <col min="2" max="2" width="19.69921875" bestFit="1" customWidth="1"/>
    <col min="3" max="3" width="11.59765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4" t="s">
        <v>9</v>
      </c>
      <c r="B4" s="4" t="s">
        <v>10</v>
      </c>
      <c r="C4" s="4" t="s">
        <v>11</v>
      </c>
    </row>
    <row r="5" spans="1:3" x14ac:dyDescent="0.3">
      <c r="A5" s="7" t="s">
        <v>21</v>
      </c>
      <c r="B5" s="7" t="s">
        <v>22</v>
      </c>
      <c r="C5" s="8" t="s">
        <v>5</v>
      </c>
    </row>
    <row r="6" spans="1:3" x14ac:dyDescent="0.3">
      <c r="A6" s="6" t="s">
        <v>23</v>
      </c>
      <c r="B6" s="6" t="s">
        <v>24</v>
      </c>
      <c r="C6" s="5" t="s">
        <v>8</v>
      </c>
    </row>
  </sheetData>
  <pageMargins left="0" right="0" top="0" bottom="0" header="0" footer="0"/>
  <pageSetup paperSize="9" orientation="portrait" r:id="rId1"/>
  <ignoredErrors>
    <ignoredError sqref="A1:C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DC22-9880-4B9D-96AF-83279AF215CC}">
  <dimension ref="A1:D6"/>
  <sheetViews>
    <sheetView workbookViewId="0">
      <pane ySplit="1" topLeftCell="A2" activePane="bottomLeft" state="frozen"/>
      <selection pane="bottomLeft" activeCell="F5" sqref="F5"/>
    </sheetView>
  </sheetViews>
  <sheetFormatPr baseColWidth="10" defaultRowHeight="15.6" x14ac:dyDescent="0.3"/>
  <cols>
    <col min="1" max="1" width="2.8984375" bestFit="1" customWidth="1"/>
    <col min="2" max="2" width="5.796875" bestFit="1" customWidth="1"/>
    <col min="3" max="3" width="7.59765625" bestFit="1" customWidth="1"/>
    <col min="4" max="4" width="16.796875" bestFit="1" customWidth="1"/>
  </cols>
  <sheetData>
    <row r="1" spans="1:4" x14ac:dyDescent="0.3">
      <c r="A1" s="9" t="s">
        <v>12</v>
      </c>
      <c r="B1" s="9" t="s">
        <v>13</v>
      </c>
      <c r="C1" s="9" t="s">
        <v>34</v>
      </c>
      <c r="D1" s="9" t="s">
        <v>35</v>
      </c>
    </row>
    <row r="2" spans="1:4" x14ac:dyDescent="0.3">
      <c r="A2" s="10">
        <v>1</v>
      </c>
      <c r="B2" s="10" t="s">
        <v>3</v>
      </c>
      <c r="C2" s="10">
        <v>7</v>
      </c>
      <c r="D2" s="12" t="str">
        <f>VLOOKUP($C2,Mitarbeiter!$A:$C,2,FALSE)&amp;", "&amp;VLOOKUP($C2,Mitarbeiter!$A:$C,3,FALSE)</f>
        <v>Dorn, Gerd</v>
      </c>
    </row>
    <row r="3" spans="1:4" x14ac:dyDescent="0.3">
      <c r="A3" s="10">
        <v>2</v>
      </c>
      <c r="B3" s="10" t="s">
        <v>6</v>
      </c>
      <c r="C3" s="10">
        <v>8</v>
      </c>
      <c r="D3" s="12" t="str">
        <f>VLOOKUP($C3,Mitarbeiter!$A:$C,2,FALSE)&amp;", "&amp;VLOOKUP($C3,Mitarbeiter!$A:$C,3,FALSE)</f>
        <v>Kachelmann, Heike</v>
      </c>
    </row>
    <row r="4" spans="1:4" x14ac:dyDescent="0.3">
      <c r="A4" s="10">
        <v>3</v>
      </c>
      <c r="B4" s="10" t="s">
        <v>9</v>
      </c>
      <c r="C4" s="10">
        <v>9</v>
      </c>
      <c r="D4" s="12" t="str">
        <f>VLOOKUP($C4,Mitarbeiter!$A:$C,2,FALSE)&amp;", "&amp;VLOOKUP($C4,Mitarbeiter!$A:$C,3,FALSE)</f>
        <v>Hartmann, Ingo</v>
      </c>
    </row>
    <row r="5" spans="1:4" x14ac:dyDescent="0.3">
      <c r="A5" s="10">
        <v>4</v>
      </c>
      <c r="B5" s="10" t="s">
        <v>21</v>
      </c>
      <c r="C5" s="10">
        <v>7</v>
      </c>
      <c r="D5" s="12" t="str">
        <f>VLOOKUP($C5,Mitarbeiter!$A:$C,2,FALSE)&amp;", "&amp;VLOOKUP($C5,Mitarbeiter!$A:$C,3,FALSE)</f>
        <v>Dorn, Gerd</v>
      </c>
    </row>
    <row r="6" spans="1:4" x14ac:dyDescent="0.3">
      <c r="A6" s="10">
        <v>5</v>
      </c>
      <c r="B6" s="10" t="s">
        <v>23</v>
      </c>
      <c r="C6" s="10">
        <v>8</v>
      </c>
      <c r="D6" s="12" t="str">
        <f>VLOOKUP($C6,Mitarbeiter!$A:$C,2,FALSE)&amp;", "&amp;VLOOKUP($C6,Mitarbeiter!$A:$C,3,FALSE)</f>
        <v>Kachelmann, Heike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46F7F5-AEFF-45BF-882E-093A3E4BCFC8}">
          <x14:formula1>
            <xm:f>Mitarbeiter!$A$2:$A$10</xm:f>
          </x14:formula1>
          <xm:sqref>C2:C6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BA53-72AC-40F2-9E68-F227094DDB33}">
  <dimension ref="A1:E10"/>
  <sheetViews>
    <sheetView workbookViewId="0">
      <pane ySplit="1" topLeftCell="A2" activePane="bottomLeft" state="frozen"/>
      <selection pane="bottomLeft" activeCell="E5" sqref="E5"/>
    </sheetView>
  </sheetViews>
  <sheetFormatPr baseColWidth="10" defaultRowHeight="15.6" x14ac:dyDescent="0.3"/>
  <cols>
    <col min="1" max="1" width="2.8984375" bestFit="1" customWidth="1"/>
    <col min="2" max="2" width="11.09765625" bestFit="1" customWidth="1"/>
    <col min="3" max="3" width="8.59765625" bestFit="1" customWidth="1"/>
  </cols>
  <sheetData>
    <row r="1" spans="1:5" x14ac:dyDescent="0.3">
      <c r="A1" s="9" t="s">
        <v>12</v>
      </c>
      <c r="B1" s="9" t="s">
        <v>13</v>
      </c>
      <c r="C1" s="9" t="s">
        <v>14</v>
      </c>
    </row>
    <row r="2" spans="1:5" x14ac:dyDescent="0.3">
      <c r="A2" s="10">
        <v>1</v>
      </c>
      <c r="B2" s="10" t="s">
        <v>15</v>
      </c>
      <c r="C2" s="10" t="s">
        <v>25</v>
      </c>
      <c r="E2" s="3"/>
    </row>
    <row r="3" spans="1:5" x14ac:dyDescent="0.3">
      <c r="A3" s="10">
        <v>2</v>
      </c>
      <c r="B3" s="10" t="s">
        <v>18</v>
      </c>
      <c r="C3" s="10" t="s">
        <v>26</v>
      </c>
    </row>
    <row r="4" spans="1:5" x14ac:dyDescent="0.3">
      <c r="A4" s="10">
        <v>3</v>
      </c>
      <c r="B4" s="10" t="s">
        <v>19</v>
      </c>
      <c r="C4" s="10" t="s">
        <v>27</v>
      </c>
    </row>
    <row r="5" spans="1:5" x14ac:dyDescent="0.3">
      <c r="A5" s="10">
        <v>4</v>
      </c>
      <c r="B5" s="10" t="s">
        <v>20</v>
      </c>
      <c r="C5" s="10" t="s">
        <v>28</v>
      </c>
    </row>
    <row r="6" spans="1:5" x14ac:dyDescent="0.3">
      <c r="A6" s="10">
        <v>5</v>
      </c>
      <c r="B6" s="10" t="s">
        <v>15</v>
      </c>
      <c r="C6" s="10" t="s">
        <v>29</v>
      </c>
    </row>
    <row r="7" spans="1:5" x14ac:dyDescent="0.3">
      <c r="A7" s="10">
        <v>6</v>
      </c>
      <c r="B7" s="10" t="s">
        <v>10</v>
      </c>
      <c r="C7" s="11" t="s">
        <v>30</v>
      </c>
    </row>
    <row r="8" spans="1:5" x14ac:dyDescent="0.3">
      <c r="A8" s="10">
        <v>7</v>
      </c>
      <c r="B8" s="10" t="s">
        <v>5</v>
      </c>
      <c r="C8" s="10" t="s">
        <v>31</v>
      </c>
    </row>
    <row r="9" spans="1:5" x14ac:dyDescent="0.3">
      <c r="A9" s="10">
        <v>8</v>
      </c>
      <c r="B9" s="10" t="s">
        <v>8</v>
      </c>
      <c r="C9" s="10" t="s">
        <v>32</v>
      </c>
    </row>
    <row r="10" spans="1:5" x14ac:dyDescent="0.3">
      <c r="A10" s="10">
        <v>9</v>
      </c>
      <c r="B10" s="10" t="s">
        <v>11</v>
      </c>
      <c r="C10" s="10" t="s">
        <v>33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9FFA-9FF9-4FDB-BDF4-9E49910B3857}">
  <dimension ref="A1:E12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5.6" x14ac:dyDescent="0.3"/>
  <cols>
    <col min="1" max="1" width="2.8984375" bestFit="1" customWidth="1"/>
    <col min="2" max="2" width="9" bestFit="1" customWidth="1"/>
    <col min="3" max="3" width="12.5" bestFit="1" customWidth="1"/>
    <col min="4" max="4" width="8.59765625" bestFit="1" customWidth="1"/>
    <col min="5" max="5" width="13.8984375" bestFit="1" customWidth="1"/>
  </cols>
  <sheetData>
    <row r="1" spans="1:5" ht="31.2" x14ac:dyDescent="0.3">
      <c r="A1" s="9" t="s">
        <v>12</v>
      </c>
      <c r="B1" s="9" t="s">
        <v>16</v>
      </c>
      <c r="C1" s="9" t="s">
        <v>17</v>
      </c>
      <c r="D1" s="9" t="s">
        <v>36</v>
      </c>
      <c r="E1" s="9" t="s">
        <v>37</v>
      </c>
    </row>
    <row r="2" spans="1:5" x14ac:dyDescent="0.3">
      <c r="A2" s="10">
        <v>1</v>
      </c>
      <c r="B2" s="10">
        <v>1</v>
      </c>
      <c r="C2" s="10">
        <v>1</v>
      </c>
      <c r="D2" s="12" t="str">
        <f>VLOOKUP($B2,Projekte!$A:$B,2,FALSE)</f>
        <v>Proj1</v>
      </c>
      <c r="E2" s="12" t="str">
        <f>VLOOKUP($C2,Mitarbeiter!$A:$C,2,FALSE)&amp;", "&amp;VLOOKUP($C2,Mitarbeiter!$A:$C,3,FALSE)</f>
        <v>Müller, Anna</v>
      </c>
    </row>
    <row r="3" spans="1:5" x14ac:dyDescent="0.3">
      <c r="A3" s="10">
        <v>2</v>
      </c>
      <c r="B3" s="10">
        <v>1</v>
      </c>
      <c r="C3" s="10">
        <v>2</v>
      </c>
      <c r="D3" s="12" t="str">
        <f>VLOOKUP($B3,Projekte!$A:$B,2,FALSE)</f>
        <v>Proj1</v>
      </c>
      <c r="E3" s="12" t="str">
        <f>VLOOKUP($C3,Mitarbeiter!$A:$C,2,FALSE)&amp;", "&amp;VLOOKUP($C3,Mitarbeiter!$A:$C,3,FALSE)</f>
        <v>Meier, Bernd</v>
      </c>
    </row>
    <row r="4" spans="1:5" x14ac:dyDescent="0.3">
      <c r="A4" s="10">
        <v>3</v>
      </c>
      <c r="B4" s="10">
        <v>1</v>
      </c>
      <c r="C4" s="10">
        <v>3</v>
      </c>
      <c r="D4" s="12" t="str">
        <f>VLOOKUP($B4,Projekte!$A:$B,2,FALSE)</f>
        <v>Proj1</v>
      </c>
      <c r="E4" s="12" t="str">
        <f>VLOOKUP($C4,Mitarbeiter!$A:$C,2,FALSE)&amp;", "&amp;VLOOKUP($C4,Mitarbeiter!$A:$C,3,FALSE)</f>
        <v>Schmitt, Clara</v>
      </c>
    </row>
    <row r="5" spans="1:5" x14ac:dyDescent="0.3">
      <c r="A5" s="10">
        <v>4</v>
      </c>
      <c r="B5" s="10">
        <v>2</v>
      </c>
      <c r="C5" s="10">
        <v>4</v>
      </c>
      <c r="D5" s="12" t="str">
        <f>VLOOKUP($B5,Projekte!$A:$B,2,FALSE)</f>
        <v>Proj2</v>
      </c>
      <c r="E5" s="12" t="str">
        <f>VLOOKUP($C5,Mitarbeiter!$A:$C,2,FALSE)&amp;", "&amp;VLOOKUP($C5,Mitarbeiter!$A:$C,3,FALSE)</f>
        <v>Heinrich, David</v>
      </c>
    </row>
    <row r="6" spans="1:5" x14ac:dyDescent="0.3">
      <c r="A6" s="10">
        <v>5</v>
      </c>
      <c r="B6" s="10">
        <v>2</v>
      </c>
      <c r="C6" s="10">
        <v>5</v>
      </c>
      <c r="D6" s="12" t="str">
        <f>VLOOKUP($B6,Projekte!$A:$B,2,FALSE)</f>
        <v>Proj2</v>
      </c>
      <c r="E6" s="12" t="str">
        <f>VLOOKUP($C6,Mitarbeiter!$A:$C,2,FALSE)&amp;", "&amp;VLOOKUP($C6,Mitarbeiter!$A:$C,3,FALSE)</f>
        <v>Müller, Erik</v>
      </c>
    </row>
    <row r="7" spans="1:5" x14ac:dyDescent="0.3">
      <c r="A7" s="10">
        <v>6</v>
      </c>
      <c r="B7" s="10">
        <v>3</v>
      </c>
      <c r="C7" s="10">
        <v>6</v>
      </c>
      <c r="D7" s="12" t="str">
        <f>VLOOKUP($B7,Projekte!$A:$B,2,FALSE)</f>
        <v>Proj3</v>
      </c>
      <c r="E7" s="12" t="str">
        <f>VLOOKUP($C7,Mitarbeiter!$A:$C,2,FALSE)&amp;", "&amp;VLOOKUP($C7,Mitarbeiter!$A:$C,3,FALSE)</f>
        <v>Klaar, Frank</v>
      </c>
    </row>
    <row r="8" spans="1:5" x14ac:dyDescent="0.3">
      <c r="A8" s="10">
        <v>7</v>
      </c>
      <c r="B8" s="10">
        <v>4</v>
      </c>
      <c r="C8" s="10">
        <v>1</v>
      </c>
      <c r="D8" s="12" t="str">
        <f>VLOOKUP($B8,Projekte!$A:$B,2,FALSE)</f>
        <v>Proj4</v>
      </c>
      <c r="E8" s="12" t="str">
        <f>VLOOKUP($C8,Mitarbeiter!$A:$C,2,FALSE)&amp;", "&amp;VLOOKUP($C8,Mitarbeiter!$A:$C,3,FALSE)</f>
        <v>Müller, Anna</v>
      </c>
    </row>
    <row r="9" spans="1:5" x14ac:dyDescent="0.3">
      <c r="A9" s="10">
        <v>8</v>
      </c>
      <c r="B9" s="10">
        <v>4</v>
      </c>
      <c r="C9" s="10">
        <v>6</v>
      </c>
      <c r="D9" s="12" t="str">
        <f>VLOOKUP($B9,Projekte!$A:$B,2,FALSE)</f>
        <v>Proj4</v>
      </c>
      <c r="E9" s="12" t="str">
        <f>VLOOKUP($C9,Mitarbeiter!$A:$C,2,FALSE)&amp;", "&amp;VLOOKUP($C9,Mitarbeiter!$A:$C,3,FALSE)</f>
        <v>Klaar, Frank</v>
      </c>
    </row>
    <row r="10" spans="1:5" x14ac:dyDescent="0.3">
      <c r="A10" s="10">
        <v>9</v>
      </c>
      <c r="B10" s="10">
        <v>4</v>
      </c>
      <c r="C10" s="10">
        <v>9</v>
      </c>
      <c r="D10" s="12" t="str">
        <f>VLOOKUP($B10,Projekte!$A:$B,2,FALSE)</f>
        <v>Proj4</v>
      </c>
      <c r="E10" s="12" t="str">
        <f>VLOOKUP($C10,Mitarbeiter!$A:$C,2,FALSE)&amp;", "&amp;VLOOKUP($C10,Mitarbeiter!$A:$C,3,FALSE)</f>
        <v>Hartmann, Ingo</v>
      </c>
    </row>
    <row r="11" spans="1:5" x14ac:dyDescent="0.3">
      <c r="A11" s="10">
        <v>10</v>
      </c>
      <c r="B11" s="10">
        <v>5</v>
      </c>
      <c r="C11" s="10">
        <v>2</v>
      </c>
      <c r="D11" s="12" t="str">
        <f>VLOOKUP($B11,Projekte!$A:$B,2,FALSE)</f>
        <v>Proj5</v>
      </c>
      <c r="E11" s="12" t="str">
        <f>VLOOKUP($C11,Mitarbeiter!$A:$C,2,FALSE)&amp;", "&amp;VLOOKUP($C11,Mitarbeiter!$A:$C,3,FALSE)</f>
        <v>Meier, Bernd</v>
      </c>
    </row>
    <row r="12" spans="1:5" x14ac:dyDescent="0.3">
      <c r="A12" s="10">
        <v>11</v>
      </c>
      <c r="B12" s="10">
        <v>5</v>
      </c>
      <c r="C12" s="10">
        <v>4</v>
      </c>
      <c r="D12" s="12" t="str">
        <f>VLOOKUP($B12,Projekte!$A:$B,2,FALSE)</f>
        <v>Proj5</v>
      </c>
      <c r="E12" s="12" t="str">
        <f>VLOOKUP($C12,Mitarbeiter!$A:$C,2,FALSE)&amp;", "&amp;VLOOKUP($C12,Mitarbeiter!$A:$C,3,FALSE)</f>
        <v>Heinrich, David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100E13-8207-4764-B8CA-1C7BACA24E62}">
          <x14:formula1>
            <xm:f>Projekte!$A$2:$A$6</xm:f>
          </x14:formula1>
          <xm:sqref>B2:B12</xm:sqref>
        </x14:dataValidation>
        <x14:dataValidation type="list" allowBlank="1" showInputMessage="1" showErrorMessage="1" xr:uid="{85CAD1B0-D420-426C-9090-8D51D0FC2A30}">
          <x14:formula1>
            <xm:f>Mitarbeiter!$A$2:$A$10</xm:f>
          </x14:formula1>
          <xm:sqref>C2:C12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Projektverwaltung</vt:lpstr>
      <vt:lpstr>Projekte</vt:lpstr>
      <vt:lpstr>Mitarbeiter</vt:lpstr>
      <vt:lpstr>Zuordnung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Karsten Kessler</cp:lastModifiedBy>
  <cp:revision/>
  <cp:lastPrinted>2026-09-10T07:50:49Z</cp:lastPrinted>
  <dcterms:created xsi:type="dcterms:W3CDTF">2024-09-08T06:38:34Z</dcterms:created>
  <dcterms:modified xsi:type="dcterms:W3CDTF">2026-09-13T10:49:31Z</dcterms:modified>
  <cp:category/>
  <cp:contentStatus/>
</cp:coreProperties>
</file>